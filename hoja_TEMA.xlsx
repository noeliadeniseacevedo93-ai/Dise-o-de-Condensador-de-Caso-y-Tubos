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TEMA" sheetId="1" state="visible" r:id="rId3"/>
    <sheet name="Itera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<sst xmlns="http://schemas.openxmlformats.org/spreadsheetml/2006/main" count="132" uniqueCount="101">
  <si>
    <t xml:space="preserve">HOJA DE ESPECIFICACIONES TÉCNICAS — INTERCAMBIADOR DE CASCO Y TUBOS (TEMA)</t>
  </si>
  <si>
    <t xml:space="preserve">1. DATOS DE IDENTIFICACIÓN DEL EQUIPO</t>
  </si>
  <si>
    <t xml:space="preserve">Ítem / Tag</t>
  </si>
  <si>
    <t xml:space="preserve">E-101</t>
  </si>
  <si>
    <t xml:space="preserve">Servicio</t>
  </si>
  <si>
    <t xml:space="preserve">Condensador de vapor de agua</t>
  </si>
  <si>
    <t xml:space="preserve">Cliente / Proyecto</t>
  </si>
  <si>
    <t xml:space="preserve">Práctica Integradora</t>
  </si>
  <si>
    <t xml:space="preserve">Tipo TEMA</t>
  </si>
  <si>
    <t xml:space="preserve">BEM</t>
  </si>
  <si>
    <t xml:space="preserve">Orientación</t>
  </si>
  <si>
    <t xml:space="preserve">Horizontal</t>
  </si>
  <si>
    <t xml:space="preserve">Cascos en serie</t>
  </si>
  <si>
    <t xml:space="preserve">2. CONDICIONES DE OPERACIÓN Y PROCESO</t>
  </si>
  <si>
    <t xml:space="preserve">Parámetro</t>
  </si>
  <si>
    <t xml:space="preserve">Lado casco</t>
  </si>
  <si>
    <t xml:space="preserve">Lado tubos</t>
  </si>
  <si>
    <t xml:space="preserve">Unidad</t>
  </si>
  <si>
    <t xml:space="preserve">Fluido</t>
  </si>
  <si>
    <t xml:space="preserve">Vapor de agua saturado</t>
  </si>
  <si>
    <t xml:space="preserve">Agua de enfriamiento</t>
  </si>
  <si>
    <t xml:space="preserve">-</t>
  </si>
  <si>
    <t xml:space="preserve">Caudal másico</t>
  </si>
  <si>
    <t xml:space="preserve">kg/s</t>
  </si>
  <si>
    <t xml:space="preserve">Temperatura de entrada</t>
  </si>
  <si>
    <t xml:space="preserve">°C</t>
  </si>
  <si>
    <t xml:space="preserve">Temperatura de salida</t>
  </si>
  <si>
    <t xml:space="preserve">Presión de operación</t>
  </si>
  <si>
    <t xml:space="preserve">kPa abs</t>
  </si>
  <si>
    <t xml:space="preserve">Calor latente de condensación</t>
  </si>
  <si>
    <t xml:space="preserve">kJ/kg</t>
  </si>
  <si>
    <t xml:space="preserve">Densidad (líquido / vapor)</t>
  </si>
  <si>
    <t xml:space="preserve">942.9 / 1.129</t>
  </si>
  <si>
    <t xml:space="preserve">kg/m³</t>
  </si>
  <si>
    <t xml:space="preserve">Viscosidad</t>
  </si>
  <si>
    <t xml:space="preserve">0.2320</t>
  </si>
  <si>
    <t xml:space="preserve">0.7600</t>
  </si>
  <si>
    <t xml:space="preserve">mPa·s</t>
  </si>
  <si>
    <t xml:space="preserve">Conductividad térmica</t>
  </si>
  <si>
    <t xml:space="preserve">W/m·K</t>
  </si>
  <si>
    <t xml:space="preserve">Calor específico</t>
  </si>
  <si>
    <t xml:space="preserve">J/kg·K</t>
  </si>
  <si>
    <t xml:space="preserve">Velocidad</t>
  </si>
  <si>
    <t xml:space="preserve">m/s</t>
  </si>
  <si>
    <t xml:space="preserve">Factor de ensuciamiento</t>
  </si>
  <si>
    <t xml:space="preserve">m²·K/W</t>
  </si>
  <si>
    <t xml:space="preserve">Δp admisible</t>
  </si>
  <si>
    <t xml:space="preserve">kPa</t>
  </si>
  <si>
    <t xml:space="preserve">Δp calculada (sin codos ni boquillas)</t>
  </si>
  <si>
    <t xml:space="preserve">Carga térmica Q</t>
  </si>
  <si>
    <t xml:space="preserve">kW</t>
  </si>
  <si>
    <t xml:space="preserve">DMLT (contracorriente)</t>
  </si>
  <si>
    <t xml:space="preserve">Factor Ft</t>
  </si>
  <si>
    <t xml:space="preserve">3. DATOS GEOMÉTRICOS Y CONSTRUCTIVOS</t>
  </si>
  <si>
    <t xml:space="preserve">Haz tubular</t>
  </si>
  <si>
    <t xml:space="preserve">Carcasa</t>
  </si>
  <si>
    <t xml:space="preserve">Diámetro externo / interno de tubo</t>
  </si>
  <si>
    <t xml:space="preserve">19.05 / 14.83</t>
  </si>
  <si>
    <t xml:space="preserve">mm</t>
  </si>
  <si>
    <t xml:space="preserve">Diámetro interno de carcasa Ds</t>
  </si>
  <si>
    <t xml:space="preserve">Número de tubos por casco (Nt)</t>
  </si>
  <si>
    <t xml:space="preserve">Longitud de tubo (L)</t>
  </si>
  <si>
    <t xml:space="preserve">m</t>
  </si>
  <si>
    <t xml:space="preserve">Número de pasos por tubo</t>
  </si>
  <si>
    <t xml:space="preserve">Arreglo de tubos</t>
  </si>
  <si>
    <t xml:space="preserve">Triangular 60°</t>
  </si>
  <si>
    <t xml:space="preserve">Paso de tubos (Pt)</t>
  </si>
  <si>
    <t xml:space="preserve">Material</t>
  </si>
  <si>
    <t xml:space="preserve">Acero al carbono</t>
  </si>
  <si>
    <t xml:space="preserve">Espaciado de deflectores (B)</t>
  </si>
  <si>
    <t xml:space="preserve">Número de deflectores</t>
  </si>
  <si>
    <t xml:space="preserve">Corte de deflector</t>
  </si>
  <si>
    <t xml:space="preserve">25 % segmentado</t>
  </si>
  <si>
    <t xml:space="preserve">Superficie por casco</t>
  </si>
  <si>
    <t xml:space="preserve">m²</t>
  </si>
  <si>
    <t xml:space="preserve">4. RESULTADOS DE DESEMPEÑO TÉRMICO E HIDRÁULICO</t>
  </si>
  <si>
    <t xml:space="preserve">Valor</t>
  </si>
  <si>
    <t xml:space="preserve">ho (coeficiente película lado casco)</t>
  </si>
  <si>
    <t xml:space="preserve">W/m²·K</t>
  </si>
  <si>
    <t xml:space="preserve">hi (coeficiente película lado tubos)</t>
  </si>
  <si>
    <t xml:space="preserve">Uc (limpio)</t>
  </si>
  <si>
    <t xml:space="preserve">Ud (diseño)</t>
  </si>
  <si>
    <t xml:space="preserve">Rd_calc = (Uc - Ud)/(Uc·Ud)</t>
  </si>
  <si>
    <t xml:space="preserve">Rd_requerido</t>
  </si>
  <si>
    <t xml:space="preserve">Área de intercambio requerida</t>
  </si>
  <si>
    <t xml:space="preserve">Área de intercambio proporcionada</t>
  </si>
  <si>
    <t xml:space="preserve">Exceso de área</t>
  </si>
  <si>
    <t xml:space="preserve">%</t>
  </si>
  <si>
    <t xml:space="preserve">Δp calculada lado casco</t>
  </si>
  <si>
    <t xml:space="preserve">Δp calculada lado tubos</t>
  </si>
  <si>
    <t xml:space="preserve">Cumple Rd y Δp</t>
  </si>
  <si>
    <t xml:space="preserve">SÍ</t>
  </si>
  <si>
    <t xml:space="preserve">Notas: Q = Wh·λ; coef. de condensación por Nusselt/Kern; lado sensible Gnielinski/Kern; Δp sin codos ni boquillas. Δp con vapor condensante afectada por factor 0.5.</t>
  </si>
  <si>
    <t xml:space="preserve">Registro de decisiones del agente</t>
  </si>
  <si>
    <t xml:space="preserve">Q = 4,403.8 kW | Wc = 70.270 kg/s | DMLT = 87.49 °C</t>
  </si>
  <si>
    <t xml:space="preserve">Ns = 1 casco(s) en serie -&gt; Ft = 1.000</t>
  </si>
  <si>
    <t xml:space="preserve">[1] Ud_est= 2000.0 A'= 25.17 m2 -&gt; Nt=138x1, n=1, L=3.05, Ds=489 mm, B=489 mm | hi=13583 ho=6161 Uc=3283 Ud=1998 Rd=0.00020 (req 0.00054) dPt=25.5 kPa dPs=19.3 kPa</t>
  </si>
  <si>
    <t xml:space="preserve">  Rd_calc &lt; Rd_req -&gt; el agente aumenta el área (reduce Ud_est)</t>
  </si>
  <si>
    <t xml:space="preserve">[2] Ud_est= 1161.9 A'= 43.32 m2 -&gt; Nt=198x1, n=1, L=3.66, Ds=540 mm, B=513 mm | hi=9971 ho=6234 Uc=2968 Ud=1161 Rd=0.00052 (req 0.00054) dPt=15.3 kPa dPs=19.0 kPa</t>
  </si>
  <si>
    <t xml:space="preserve">[3] Ud_est= 1119.2 A'= 44.98 m2 -&gt; Nt=206x1, n=1, L=3.66, Ds=540 mm, B=513 mm | hi=9638 ho=6257 Uc=2934 Ud=1116 Rd=0.00056 (req 0.00054) dPt=14.1 kPa dPs=19.0 kPa</t>
  </si>
  <si>
    <t xml:space="preserve">  Cumple Rd y Δp con exceso de área 1.8 % -&gt; CONVERGE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</si>
</sst>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"/>
    <numFmt numFmtId="167" formatCode="0.00"/>
    <numFmt numFmtId="168" formatCode="0.00000"/>
    <numFmt numFmtId="169" formatCode="#,##0.0"/>
    <numFmt numFmtId="170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4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n">
        <v>1</v>
      </c>
    </row>
    <row r="11" customFormat="false" ht="15" hidden="false" customHeight="false" outlineLevel="0" collapsed="false">
      <c r="A11" s="2" t="s">
        <v>13</v>
      </c>
      <c r="B11" s="2"/>
      <c r="C11" s="2"/>
      <c r="D11" s="2"/>
      <c r="E11" s="2"/>
    </row>
    <row r="12" customFormat="false" ht="15" hidden="false" customHeight="false" outlineLevel="0" collapsed="false">
      <c r="A12" s="5" t="s">
        <v>14</v>
      </c>
      <c r="B12" s="5" t="s">
        <v>15</v>
      </c>
      <c r="C12" s="5" t="s">
        <v>16</v>
      </c>
      <c r="D12" s="5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  <c r="C13" s="4" t="s">
        <v>20</v>
      </c>
      <c r="D13" s="4" t="s">
        <v>21</v>
      </c>
    </row>
    <row r="14" customFormat="false" ht="15" hidden="false" customHeight="false" outlineLevel="0" collapsed="false">
      <c r="A14" s="3" t="s">
        <v>22</v>
      </c>
      <c r="B14" s="6" t="n">
        <v>2</v>
      </c>
      <c r="C14" s="6" t="n">
        <v>70.27</v>
      </c>
      <c r="D14" s="4" t="s">
        <v>23</v>
      </c>
    </row>
    <row r="15" customFormat="false" ht="15" hidden="false" customHeight="false" outlineLevel="0" collapsed="false">
      <c r="A15" s="3" t="s">
        <v>24</v>
      </c>
      <c r="B15" s="7" t="n">
        <v>120.2</v>
      </c>
      <c r="C15" s="7" t="n">
        <v>25</v>
      </c>
      <c r="D15" s="4" t="s">
        <v>25</v>
      </c>
    </row>
    <row r="16" customFormat="false" ht="15" hidden="false" customHeight="false" outlineLevel="0" collapsed="false">
      <c r="A16" s="3" t="s">
        <v>26</v>
      </c>
      <c r="B16" s="7" t="n">
        <v>120.2</v>
      </c>
      <c r="C16" s="7" t="n">
        <v>40</v>
      </c>
      <c r="D16" s="4" t="s">
        <v>25</v>
      </c>
    </row>
    <row r="17" customFormat="false" ht="15" hidden="false" customHeight="false" outlineLevel="0" collapsed="false">
      <c r="A17" s="3" t="s">
        <v>27</v>
      </c>
      <c r="B17" s="7" t="n">
        <v>200</v>
      </c>
      <c r="C17" s="7" t="n">
        <v>400</v>
      </c>
      <c r="D17" s="4" t="s">
        <v>28</v>
      </c>
    </row>
    <row r="18" customFormat="false" ht="15" hidden="false" customHeight="false" outlineLevel="0" collapsed="false">
      <c r="A18" s="3" t="s">
        <v>29</v>
      </c>
      <c r="B18" s="7" t="n">
        <v>2201.9</v>
      </c>
      <c r="C18" s="4" t="s">
        <v>21</v>
      </c>
      <c r="D18" s="4" t="s">
        <v>30</v>
      </c>
    </row>
    <row r="19" customFormat="false" ht="15" hidden="false" customHeight="false" outlineLevel="0" collapsed="false">
      <c r="A19" s="3" t="s">
        <v>31</v>
      </c>
      <c r="B19" s="4" t="s">
        <v>32</v>
      </c>
      <c r="C19" s="4" t="n">
        <v>995</v>
      </c>
      <c r="D19" s="4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  <c r="C20" s="4" t="s">
        <v>36</v>
      </c>
      <c r="D20" s="4" t="s">
        <v>37</v>
      </c>
    </row>
    <row r="21" customFormat="false" ht="15" hidden="false" customHeight="false" outlineLevel="0" collapsed="false">
      <c r="A21" s="3" t="s">
        <v>38</v>
      </c>
      <c r="B21" s="4" t="n">
        <v>0.685</v>
      </c>
      <c r="C21" s="4" t="n">
        <v>0.62</v>
      </c>
      <c r="D21" s="4" t="s">
        <v>39</v>
      </c>
    </row>
    <row r="22" customFormat="false" ht="15" hidden="false" customHeight="false" outlineLevel="0" collapsed="false">
      <c r="A22" s="3" t="s">
        <v>40</v>
      </c>
      <c r="B22" s="4" t="s">
        <v>21</v>
      </c>
      <c r="C22" s="4" t="n">
        <v>4178</v>
      </c>
      <c r="D22" s="4" t="s">
        <v>41</v>
      </c>
    </row>
    <row r="23" customFormat="false" ht="15" hidden="false" customHeight="false" outlineLevel="0" collapsed="false">
      <c r="A23" s="3" t="s">
        <v>42</v>
      </c>
      <c r="B23" s="8" t="n">
        <v>32.02</v>
      </c>
      <c r="C23" s="8" t="n">
        <v>1.98</v>
      </c>
      <c r="D23" s="4" t="s">
        <v>43</v>
      </c>
    </row>
    <row r="24" customFormat="false" ht="15" hidden="false" customHeight="false" outlineLevel="0" collapsed="false">
      <c r="A24" s="3" t="s">
        <v>44</v>
      </c>
      <c r="B24" s="9" t="n">
        <v>9E-005</v>
      </c>
      <c r="C24" s="9" t="n">
        <v>0.00035</v>
      </c>
      <c r="D24" s="4" t="s">
        <v>45</v>
      </c>
    </row>
    <row r="25" customFormat="false" ht="15" hidden="false" customHeight="false" outlineLevel="0" collapsed="false">
      <c r="A25" s="3" t="s">
        <v>46</v>
      </c>
      <c r="B25" s="7" t="n">
        <v>20</v>
      </c>
      <c r="C25" s="7" t="n">
        <v>70</v>
      </c>
      <c r="D25" s="4" t="s">
        <v>47</v>
      </c>
    </row>
    <row r="26" customFormat="false" ht="15" hidden="false" customHeight="false" outlineLevel="0" collapsed="false">
      <c r="A26" s="3" t="s">
        <v>48</v>
      </c>
      <c r="B26" s="8" t="n">
        <v>19.03</v>
      </c>
      <c r="C26" s="8" t="n">
        <v>14.14</v>
      </c>
      <c r="D26" s="4" t="s">
        <v>47</v>
      </c>
    </row>
    <row r="27" customFormat="false" ht="15" hidden="false" customHeight="false" outlineLevel="0" collapsed="false">
      <c r="A27" s="3" t="s">
        <v>49</v>
      </c>
      <c r="B27" s="10" t="n">
        <v>4403.8</v>
      </c>
      <c r="C27" s="4"/>
      <c r="D27" s="4" t="s">
        <v>50</v>
      </c>
    </row>
    <row r="28" customFormat="false" ht="15" hidden="false" customHeight="false" outlineLevel="0" collapsed="false">
      <c r="A28" s="3" t="s">
        <v>51</v>
      </c>
      <c r="B28" s="8" t="n">
        <v>87.49</v>
      </c>
      <c r="C28" s="4"/>
      <c r="D28" s="4" t="s">
        <v>25</v>
      </c>
    </row>
    <row r="29" customFormat="false" ht="15" hidden="false" customHeight="false" outlineLevel="0" collapsed="false">
      <c r="A29" s="3" t="s">
        <v>52</v>
      </c>
      <c r="B29" s="6" t="n">
        <v>1</v>
      </c>
      <c r="C29" s="4"/>
      <c r="D29" s="4" t="s">
        <v>21</v>
      </c>
    </row>
    <row r="31" customFormat="false" ht="15" hidden="false" customHeight="false" outlineLevel="0" collapsed="false">
      <c r="A31" s="2" t="s">
        <v>53</v>
      </c>
      <c r="B31" s="2"/>
      <c r="C31" s="2"/>
      <c r="D31" s="2"/>
      <c r="E31" s="2"/>
    </row>
    <row r="32" customFormat="false" ht="15" hidden="false" customHeight="false" outlineLevel="0" collapsed="false">
      <c r="A32" s="5" t="s">
        <v>14</v>
      </c>
      <c r="B32" s="5" t="s">
        <v>54</v>
      </c>
      <c r="C32" s="5" t="s">
        <v>55</v>
      </c>
      <c r="D32" s="5" t="s">
        <v>17</v>
      </c>
    </row>
    <row r="33" customFormat="false" ht="15" hidden="false" customHeight="false" outlineLevel="0" collapsed="false">
      <c r="A33" s="3" t="s">
        <v>56</v>
      </c>
      <c r="B33" s="4" t="s">
        <v>57</v>
      </c>
      <c r="C33" s="4"/>
      <c r="D33" s="4" t="s">
        <v>58</v>
      </c>
    </row>
    <row r="34" customFormat="false" ht="15" hidden="false" customHeight="false" outlineLevel="0" collapsed="false">
      <c r="A34" s="3" t="s">
        <v>59</v>
      </c>
      <c r="B34" s="4"/>
      <c r="C34" s="7" t="n">
        <v>539.8</v>
      </c>
      <c r="D34" s="4" t="s">
        <v>58</v>
      </c>
    </row>
    <row r="35" customFormat="false" ht="15" hidden="false" customHeight="false" outlineLevel="0" collapsed="false">
      <c r="A35" s="3" t="s">
        <v>60</v>
      </c>
      <c r="B35" s="4" t="n">
        <v>206</v>
      </c>
      <c r="C35" s="4"/>
      <c r="D35" s="4" t="s">
        <v>21</v>
      </c>
    </row>
    <row r="36" customFormat="false" ht="15" hidden="false" customHeight="false" outlineLevel="0" collapsed="false">
      <c r="A36" s="3" t="s">
        <v>61</v>
      </c>
      <c r="B36" s="8" t="n">
        <v>3.66</v>
      </c>
      <c r="C36" s="4"/>
      <c r="D36" s="4" t="s">
        <v>62</v>
      </c>
    </row>
    <row r="37" customFormat="false" ht="15" hidden="false" customHeight="false" outlineLevel="0" collapsed="false">
      <c r="A37" s="3" t="s">
        <v>63</v>
      </c>
      <c r="B37" s="4" t="n">
        <v>1</v>
      </c>
      <c r="C37" s="4"/>
      <c r="D37" s="4" t="s">
        <v>21</v>
      </c>
    </row>
    <row r="38" customFormat="false" ht="15" hidden="false" customHeight="false" outlineLevel="0" collapsed="false">
      <c r="A38" s="3" t="s">
        <v>64</v>
      </c>
      <c r="B38" s="4" t="s">
        <v>65</v>
      </c>
      <c r="C38" s="4"/>
      <c r="D38" s="4" t="s">
        <v>21</v>
      </c>
    </row>
    <row r="39" customFormat="false" ht="15" hidden="false" customHeight="false" outlineLevel="0" collapsed="false">
      <c r="A39" s="3" t="s">
        <v>66</v>
      </c>
      <c r="B39" s="8" t="n">
        <v>23.81</v>
      </c>
      <c r="C39" s="4"/>
      <c r="D39" s="4" t="s">
        <v>58</v>
      </c>
    </row>
    <row r="40" customFormat="false" ht="15" hidden="false" customHeight="false" outlineLevel="0" collapsed="false">
      <c r="A40" s="3" t="s">
        <v>67</v>
      </c>
      <c r="B40" s="4" t="s">
        <v>68</v>
      </c>
      <c r="C40" s="4" t="s">
        <v>68</v>
      </c>
      <c r="D40" s="4" t="s">
        <v>21</v>
      </c>
    </row>
    <row r="41" customFormat="false" ht="15" hidden="false" customHeight="false" outlineLevel="0" collapsed="false">
      <c r="A41" s="3" t="s">
        <v>69</v>
      </c>
      <c r="B41" s="4"/>
      <c r="C41" s="7" t="n">
        <v>512.8</v>
      </c>
      <c r="D41" s="4" t="s">
        <v>58</v>
      </c>
    </row>
    <row r="42" customFormat="false" ht="15" hidden="false" customHeight="false" outlineLevel="0" collapsed="false">
      <c r="A42" s="3" t="s">
        <v>70</v>
      </c>
      <c r="B42" s="4"/>
      <c r="C42" s="4" t="n">
        <v>6</v>
      </c>
      <c r="D42" s="4" t="s">
        <v>21</v>
      </c>
    </row>
    <row r="43" customFormat="false" ht="15" hidden="false" customHeight="false" outlineLevel="0" collapsed="false">
      <c r="A43" s="3" t="s">
        <v>71</v>
      </c>
      <c r="B43" s="4"/>
      <c r="C43" s="4" t="s">
        <v>72</v>
      </c>
      <c r="D43" s="4" t="s">
        <v>21</v>
      </c>
    </row>
    <row r="44" customFormat="false" ht="15" hidden="false" customHeight="false" outlineLevel="0" collapsed="false">
      <c r="A44" s="3" t="s">
        <v>73</v>
      </c>
      <c r="B44" s="4"/>
      <c r="C44" s="8" t="n">
        <f aca="false">B35*PI()*0.01905*B36</f>
        <v>45.1225005047657</v>
      </c>
      <c r="D44" s="4" t="s">
        <v>74</v>
      </c>
    </row>
    <row r="46" customFormat="false" ht="15" hidden="false" customHeight="false" outlineLevel="0" collapsed="false">
      <c r="A46" s="2" t="s">
        <v>75</v>
      </c>
      <c r="B46" s="2"/>
      <c r="C46" s="2"/>
      <c r="D46" s="2"/>
      <c r="E46" s="2"/>
    </row>
    <row r="47" customFormat="false" ht="15" hidden="false" customHeight="false" outlineLevel="0" collapsed="false">
      <c r="A47" s="5" t="s">
        <v>14</v>
      </c>
      <c r="B47" s="5" t="s">
        <v>76</v>
      </c>
      <c r="C47" s="5"/>
      <c r="D47" s="5" t="s">
        <v>17</v>
      </c>
    </row>
    <row r="48" customFormat="false" ht="15" hidden="false" customHeight="false" outlineLevel="0" collapsed="false">
      <c r="A48" s="3" t="s">
        <v>77</v>
      </c>
      <c r="B48" s="10" t="n">
        <v>6257.4</v>
      </c>
      <c r="C48" s="4"/>
      <c r="D48" s="4" t="s">
        <v>78</v>
      </c>
    </row>
    <row r="49" customFormat="false" ht="15" hidden="false" customHeight="false" outlineLevel="0" collapsed="false">
      <c r="A49" s="3" t="s">
        <v>79</v>
      </c>
      <c r="B49" s="10" t="n">
        <v>9638</v>
      </c>
      <c r="C49" s="4"/>
      <c r="D49" s="4" t="s">
        <v>78</v>
      </c>
    </row>
    <row r="50" customFormat="false" ht="15" hidden="false" customHeight="false" outlineLevel="0" collapsed="false">
      <c r="A50" s="3" t="s">
        <v>80</v>
      </c>
      <c r="B50" s="10" t="n">
        <v>2934.3</v>
      </c>
      <c r="C50" s="4"/>
      <c r="D50" s="4" t="s">
        <v>78</v>
      </c>
    </row>
    <row r="51" customFormat="false" ht="15" hidden="false" customHeight="false" outlineLevel="0" collapsed="false">
      <c r="A51" s="3" t="s">
        <v>81</v>
      </c>
      <c r="B51" s="10" t="n">
        <v>1115.6</v>
      </c>
      <c r="C51" s="4"/>
      <c r="D51" s="4" t="s">
        <v>78</v>
      </c>
    </row>
    <row r="52" customFormat="false" ht="15" hidden="false" customHeight="false" outlineLevel="0" collapsed="false">
      <c r="A52" s="3" t="s">
        <v>82</v>
      </c>
      <c r="B52" s="11" t="n">
        <f aca="false">(B50-B51)/(B50*B51)</f>
        <v>0.000555581847455083</v>
      </c>
      <c r="C52" s="4"/>
      <c r="D52" s="4" t="s">
        <v>45</v>
      </c>
    </row>
    <row r="53" customFormat="false" ht="15" hidden="false" customHeight="false" outlineLevel="0" collapsed="false">
      <c r="A53" s="3" t="s">
        <v>83</v>
      </c>
      <c r="B53" s="11" t="n">
        <v>0.00054</v>
      </c>
      <c r="C53" s="4"/>
      <c r="D53" s="4" t="s">
        <v>45</v>
      </c>
    </row>
    <row r="54" customFormat="false" ht="15" hidden="false" customHeight="false" outlineLevel="0" collapsed="false">
      <c r="A54" s="3" t="s">
        <v>84</v>
      </c>
      <c r="B54" s="8" t="n">
        <v>44.32</v>
      </c>
      <c r="C54" s="4"/>
      <c r="D54" s="4" t="s">
        <v>74</v>
      </c>
    </row>
    <row r="55" customFormat="false" ht="15" hidden="false" customHeight="false" outlineLevel="0" collapsed="false">
      <c r="A55" s="3" t="s">
        <v>85</v>
      </c>
      <c r="B55" s="8" t="n">
        <f aca="false">1*C44</f>
        <v>45.1225005047657</v>
      </c>
      <c r="C55" s="4"/>
      <c r="D55" s="4" t="s">
        <v>74</v>
      </c>
    </row>
    <row r="56" customFormat="false" ht="15" hidden="false" customHeight="false" outlineLevel="0" collapsed="false">
      <c r="A56" s="3" t="s">
        <v>86</v>
      </c>
      <c r="B56" s="7" t="n">
        <f aca="false">(B55/B54-1)*100</f>
        <v>1.81069608476012</v>
      </c>
      <c r="C56" s="4"/>
      <c r="D56" s="4" t="s">
        <v>87</v>
      </c>
    </row>
    <row r="57" customFormat="false" ht="15" hidden="false" customHeight="false" outlineLevel="0" collapsed="false">
      <c r="A57" s="3" t="s">
        <v>88</v>
      </c>
      <c r="B57" s="8" t="n">
        <v>19.03</v>
      </c>
      <c r="C57" s="4"/>
      <c r="D57" s="4" t="s">
        <v>47</v>
      </c>
    </row>
    <row r="58" customFormat="false" ht="15" hidden="false" customHeight="false" outlineLevel="0" collapsed="false">
      <c r="A58" s="3" t="s">
        <v>89</v>
      </c>
      <c r="B58" s="8" t="n">
        <v>14.14</v>
      </c>
      <c r="C58" s="4"/>
      <c r="D58" s="4" t="s">
        <v>47</v>
      </c>
    </row>
    <row r="59" customFormat="false" ht="15" hidden="false" customHeight="false" outlineLevel="0" collapsed="false">
      <c r="A59" s="3" t="s">
        <v>90</v>
      </c>
      <c r="B59" s="4" t="s">
        <v>91</v>
      </c>
      <c r="C59" s="4"/>
      <c r="D59" s="4" t="s">
        <v>21</v>
      </c>
    </row>
    <row r="61" customFormat="false" ht="15" hidden="false" customHeight="false" outlineLevel="0" collapsed="false">
      <c r="A61" s="12" t="s">
        <v>92</v>
      </c>
    </row>
  </sheetData>
  <mergeCells count="5">
    <mergeCell ref="A1:E1"/>
    <mergeCell ref="A3:E3"/>
    <mergeCell ref="A11:E11"/>
    <mergeCell ref="A31:E31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3" t="s">
        <v>93</v>
      </c>
    </row>
    <row r="2" customFormat="false" ht="15" hidden="false" customHeight="false" outlineLevel="0" collapsed="false">
      <c r="A2" s="14" t="s">
        <v>94</v>
      </c>
    </row>
    <row r="3" customFormat="false" ht="15" hidden="false" customHeight="false" outlineLevel="0" collapsed="false">
      <c r="A3" s="14" t="s">
        <v>95</v>
      </c>
    </row>
    <row r="4" customFormat="false" ht="15" hidden="false" customHeight="false" outlineLevel="0" collapsed="false">
      <c r="A4" s="14" t="s">
        <v>96</v>
      </c>
    </row>
    <row r="5" customFormat="false" ht="15" hidden="false" customHeight="false" outlineLevel="0" collapsed="false">
      <c r="A5" s="14" t="s">
        <v>97</v>
      </c>
    </row>
    <row r="6" customFormat="false" ht="15" hidden="false" customHeight="false" outlineLevel="0" collapsed="false">
      <c r="A6" s="14" t="s">
        <v>98</v>
      </c>
    </row>
    <row r="7" customFormat="false" ht="15" hidden="false" customHeight="false" outlineLevel="0" collapsed="false">
      <c r="A7" s="14" t="s">
        <v>97</v>
      </c>
    </row>
    <row r="8" customFormat="false" ht="15" hidden="false" customHeight="false" outlineLevel="0" collapsed="false">
      <c r="A8" s="14" t="s">
        <v>99</v>
      </c>
    </row>
    <row r="9" customFormat="false" ht="15" hidden="false" customHeight="false" outlineLevel="0" collapsed="false">
      <c r="A9" s="1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2026-10-16T13:25:10Z</dcterms:created>
  <dc:creator>openpyxl</dc:creator>
  <dc:description/>
  <dc:language>en-US</dc:language>
  <cp:lastModifiedBy/>
  <dcterms:modified xsi:type="dcterms:W3CDTF">2026-10-16T13:25:10Z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